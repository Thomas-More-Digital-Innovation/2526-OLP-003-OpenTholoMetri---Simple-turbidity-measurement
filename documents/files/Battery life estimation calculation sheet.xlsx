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tD\repo\2526-OLP-003-OpenTholoMetri---Simple-turbidity-measurement\documents\files\"/>
    </mc:Choice>
  </mc:AlternateContent>
  <xr:revisionPtr revIDLastSave="0" documentId="8_{55940A0F-EB2F-4569-99F8-348BC547C65F}" xr6:coauthVersionLast="47" xr6:coauthVersionMax="47" xr10:uidLastSave="{00000000-0000-0000-0000-000000000000}"/>
  <bookViews>
    <workbookView xWindow="-120" yWindow="-120" windowWidth="29040" windowHeight="17520" xr2:uid="{D43C3697-E6F2-4E8D-BED0-4901B5275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9" i="1"/>
  <c r="B11" i="1" s="1"/>
  <c r="B13" i="1" l="1"/>
  <c r="B15" i="1" s="1"/>
  <c r="B20" i="1" s="1"/>
  <c r="B21" i="1" s="1"/>
</calcChain>
</file>

<file path=xl/sharedStrings.xml><?xml version="1.0" encoding="utf-8"?>
<sst xmlns="http://schemas.openxmlformats.org/spreadsheetml/2006/main" count="13" uniqueCount="13">
  <si>
    <t>Measurements per set</t>
  </si>
  <si>
    <t>Battery Capacity (mAh)</t>
  </si>
  <si>
    <t>Active Current (mA)</t>
  </si>
  <si>
    <t>Sleep Current (mA)</t>
  </si>
  <si>
    <t>Time per measurement (ms)</t>
  </si>
  <si>
    <t>Sleep time between sets (s)</t>
  </si>
  <si>
    <t>Active time per set (s)</t>
  </si>
  <si>
    <t>Single active cycle usage (mAh)</t>
  </si>
  <si>
    <t>Single sleep cyle usage (mAh)</t>
  </si>
  <si>
    <t>Single cycle usage (mAh)</t>
  </si>
  <si>
    <t>Total cycles</t>
  </si>
  <si>
    <t>Estimated battery life (h)</t>
  </si>
  <si>
    <t>Estimated battery life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</si>
</sst>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2F5F-8D1D-4F3B-B1AF-09CA466CA1B6}">
  <dimension ref="A2:B21"/>
  <sheetViews>
    <sheetView tabSelected="1" workbookViewId="0">
      <selection activeCell="C20" sqref="C20"/>
    </sheetView>
  </sheetViews>
  <sheetFormatPr defaultRowHeight="15" x14ac:dyDescent="0.25"/>
  <cols>
    <col min="1" max="1" width="28.85546875" bestFit="1" customWidth="1"/>
    <col min="2" max="2" width="11.140625" bestFit="1" customWidth="1"/>
  </cols>
  <sheetData>
    <row r="2" spans="1:2" x14ac:dyDescent="0.25">
      <c r="A2" t="s">
        <v>1</v>
      </c>
      <c r="B2">
        <v>350</v>
      </c>
    </row>
    <row r="3" spans="1:2" x14ac:dyDescent="0.25">
      <c r="A3" t="s">
        <v>2</v>
      </c>
      <c r="B3">
        <v>12</v>
      </c>
    </row>
    <row r="4" spans="1:2" x14ac:dyDescent="0.25">
      <c r="A4" t="s">
        <v>3</v>
      </c>
      <c r="B4">
        <v>0.3</v>
      </c>
    </row>
    <row r="5" spans="1:2" x14ac:dyDescent="0.25">
      <c r="A5" t="s">
        <v>4</v>
      </c>
      <c r="B5">
        <v>250</v>
      </c>
    </row>
    <row r="6" spans="1:2" x14ac:dyDescent="0.25">
      <c r="A6" t="s">
        <v>0</v>
      </c>
      <c r="B6">
        <v>10</v>
      </c>
    </row>
    <row r="7" spans="1:2" x14ac:dyDescent="0.25">
      <c r="A7" t="s">
        <v>5</v>
      </c>
      <c r="B7">
        <v>10</v>
      </c>
    </row>
    <row r="9" spans="1:2" x14ac:dyDescent="0.25">
      <c r="A9" t="s">
        <v>6</v>
      </c>
      <c r="B9">
        <f>(B5 / 1000) * B6</f>
        <v>2.5</v>
      </c>
    </row>
    <row r="11" spans="1:2" x14ac:dyDescent="0.25">
      <c r="A11" t="s">
        <v>7</v>
      </c>
      <c r="B11">
        <f xml:space="preserve"> B3 * (B9 / 3600)</f>
        <v>8.3333333333333332E-3</v>
      </c>
    </row>
    <row r="12" spans="1:2" x14ac:dyDescent="0.25">
      <c r="A12" t="s">
        <v>8</v>
      </c>
      <c r="B12">
        <f xml:space="preserve"> B4 * (B7 / 3600)</f>
        <v>8.3333333333333339E-4</v>
      </c>
    </row>
    <row r="13" spans="1:2" x14ac:dyDescent="0.25">
      <c r="A13" t="s">
        <v>9</v>
      </c>
      <c r="B13">
        <f>B11 + B12</f>
        <v>9.1666666666666667E-3</v>
      </c>
    </row>
    <row r="15" spans="1:2" x14ac:dyDescent="0.25">
      <c r="A15" t="s">
        <v>10</v>
      </c>
      <c r="B15">
        <f xml:space="preserve"> B2 / B13</f>
        <v>38181.818181818184</v>
      </c>
    </row>
    <row r="20" spans="1:2" x14ac:dyDescent="0.25">
      <c r="A20" t="s">
        <v>11</v>
      </c>
      <c r="B20">
        <f>((B7 + B9) * B15 ) /3600</f>
        <v>132.57575757575759</v>
      </c>
    </row>
    <row r="21" spans="1:2" x14ac:dyDescent="0.25">
      <c r="A21" t="s">
        <v>12</v>
      </c>
      <c r="B21">
        <f>B20 / 24</f>
        <v>5.5239898989898997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Maat</dc:creator>
  <cp:lastModifiedBy>David Maat</cp:lastModifiedBy>
  <dcterms:created xsi:type="dcterms:W3CDTF">2025-12-16T13:32:19Z</dcterms:created>
  <dcterms:modified xsi:type="dcterms:W3CDTF">2025-12-16T14:16:35Z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2025-12-16T14:15:24Z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353bb633-ebaf-411c-a7c5-bbbbe51ff783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</Properties>
</file>